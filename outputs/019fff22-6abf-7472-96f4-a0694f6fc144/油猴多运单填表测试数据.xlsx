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dae9197df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db24455fd5764233"/>
    <x:sheet xmlns:r="http://schemas.openxmlformats.org/officeDocument/2006/relationships" name="字段说明" sheetId="2" r:id="R16e47dd81ac14271"/>
    <x:sheet xmlns:r="http://schemas.openxmlformats.org/officeDocument/2006/relationships" name="预期结果" sheetId="3" r:id="Ra664851b22db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5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7F6000"/>
      <x:name val="Microsoft YaHei"/>
    </x:font>
    <x:font>
      <x:b/>
      <x:sz val="11"/>
      <x:color rgb="FFFFFFFF"/>
      <x:name val="Microsoft YaHei"/>
    </x:font>
    <x:font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12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9EADBA"/>
      </x:left>
      <x:top style="thin">
        <x:color rgb="FF9EADBA"/>
      </x:top>
      <x:bottom style="thin">
        <x:color rgb="FFD9E2F3"/>
      </x:bottom>
    </x:border>
    <x:border>
      <x:top style="thin">
        <x:color rgb="FF9EADBA"/>
      </x:top>
      <x:bottom style="thin">
        <x:color rgb="FFD9E2F3"/>
      </x:bottom>
    </x:border>
    <x:border>
      <x:left style="thin">
        <x:color rgb="FF9EADBA"/>
      </x:left>
      <x:top style="thin">
        <x:color rgb="FFD9E2F3"/>
      </x:top>
      <x:bottom style="thin">
        <x:color rgb="FFD9E2F3"/>
      </x:bottom>
    </x:border>
    <x:border>
      <x:left style="thin">
        <x:color rgb="FF9EADBA"/>
      </x:left>
      <x:top style="thin">
        <x:color rgb="FFD9E2F3"/>
      </x:top>
      <x:bottom style="thin">
        <x:color rgb="FF9EADBA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09dddf72e4371" /><Relationship Type="http://schemas.openxmlformats.org/officeDocument/2006/relationships/theme" Target="/xl/theme/theme1.xml" Id="R950ac7d7df9c4f70" /><Relationship Type="http://schemas.openxmlformats.org/officeDocument/2006/relationships/sharedStrings" Target="/xl/sharedStrings.xml" Id="Ra8767c56553c4949" /><Relationship Type="http://schemas.openxmlformats.org/officeDocument/2006/relationships/worksheet" Target="/xl/worksheets/sheet1.xml" Id="Rdb24455fd5764233" /><Relationship Type="http://schemas.openxmlformats.org/officeDocument/2006/relationships/worksheet" Target="/xl/worksheets/sheet2.xml" Id="R16e47dd81ac14271" /><Relationship Type="http://schemas.openxmlformats.org/officeDocument/2006/relationships/worksheet" Target="/xl/worksheets/sheet3.xml" Id="Ra664851b22db4422" /></Relationships>
</file>

<file path=xl/tables/table1.xml><?xml version="1.0" encoding="utf-8"?>
<x:table xmlns:x="http://schemas.openxmlformats.org/spreadsheetml/2006/main" id="1" name="ImportOrdersTable" displayName="ImportOrdersTable" ref="A4:P10" headerRowCount="1" totalsRowCount="0" totalsRowShown="0">
  <x:tableColumns count="16">
    <x:tableColumn id="1" name="schema_version"/>
    <x:tableColumn id="2" name="batch_id"/>
    <x:tableColumn id="3" name="source_record_id"/>
    <x:tableColumn id="4" name="source_label"/>
    <x:tableColumn id="5" name="destination_text"/>
    <x:tableColumn id="6" name="delivery_type"/>
    <x:tableColumn id="7" name="sender_name"/>
    <x:tableColumn id="8" name="receiver_name"/>
    <x:tableColumn id="9" name="receiver_mobile"/>
    <x:tableColumn id="10" name="goods_name"/>
    <x:tableColumn id="11" name="package"/>
    <x:tableColumn id="12" name="quantity"/>
    <x:tableColumn id="13" name="weight"/>
    <x:tableColumn id="14" name="volume"/>
    <x:tableColumn id="15" name="freight"/>
    <x:tableColumn id="16" name="payment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MappingTable" displayName="FieldMappingTable" ref="A3:H19" headerRowCount="1" totalsRowCount="0" totalsRowShown="0">
  <x:tableColumns count="8">
    <x:tableColumn id="1" name="Excel 列名"/>
    <x:tableColumn id="2" name="中文含义"/>
    <x:tableColumn id="3" name="类型"/>
    <x:tableColumn id="4" name="必填"/>
    <x:tableColumn id="5" name="网页字段标签"/>
    <x:tableColumn id="6" name="转换/填写规则"/>
    <x:tableColumn id="7" name="分类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ectedResultsTable" displayName="ExpectedResultsTable" ref="A3:N9" headerRowCount="1" totalsRowCount="0" totalsRowShown="0">
  <x:tableColumns count="14">
    <x:tableColumn id="1" name="记录编号"/>
    <x:tableColumn id="2" name="测试场景"/>
    <x:tableColumn id="3" name="到站"/>
    <x:tableColumn id="4" name="送货方式"/>
    <x:tableColumn id="5" name="发货人"/>
    <x:tableColumn id="6" name="收货人"/>
    <x:tableColumn id="7" name="收货电话"/>
    <x:tableColumn id="8" name="货物名称"/>
    <x:tableColumn id="9" name="包装"/>
    <x:tableColumn id="10" name="件数"/>
    <x:tableColumn id="11" name="重量"/>
    <x:tableColumn id="12" name="体积"/>
    <x:tableColumn id="13" name="运费"/>
    <x:tableColumn id="14" name="付款方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2bbd28c23946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f86136919c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118256b3fd4c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1" hidden="0" customWidth="1"/>
    <x:col min="13" max="13" width="11" hidden="0" customWidth="1"/>
    <x:col min="14" max="14" width="11" hidden="0" customWidth="1"/>
    <x:col min="15" max="15" width="12" hidden="0" customWidth="1"/>
    <x:col min="16" max="16" width="16" hidden="0" customWidth="1"/>
  </x:cols>
  <x:sheetData>
    <x:row r="1" ht="30" customHeight="1">
      <x:c r="A1" s="4" t="str">
        <x:v>油猴脚本多运单填表测试数据（仅填表，不保存）</x:v>
      </x:c>
      <x:c r="B1" s="4" t="str">
        <x:v>油猴脚本多运单填表测试数据（仅填表，不保存）</x:v>
      </x:c>
      <x:c r="C1" s="4" t="str">
        <x:v>油猴脚本多运单填表测试数据（仅填表，不保存）</x:v>
      </x:c>
      <x:c r="D1" s="4" t="str">
        <x:v>油猴脚本多运单填表测试数据（仅填表，不保存）</x:v>
      </x:c>
      <x:c r="E1" s="4" t="str">
        <x:v>油猴脚本多运单填表测试数据（仅填表，不保存）</x:v>
      </x:c>
      <x:c r="F1" s="4" t="str">
        <x:v>油猴脚本多运单填表测试数据（仅填表，不保存）</x:v>
      </x:c>
      <x:c r="G1" s="4" t="str">
        <x:v>油猴脚本多运单填表测试数据（仅填表，不保存）</x:v>
      </x:c>
      <x:c r="H1" s="4" t="str">
        <x:v>油猴脚本多运单填表测试数据（仅填表，不保存）</x:v>
      </x:c>
      <x:c r="I1" s="4" t="str">
        <x:v>油猴脚本多运单填表测试数据（仅填表，不保存）</x:v>
      </x:c>
      <x:c r="J1" s="4" t="str">
        <x:v>油猴脚本多运单填表测试数据（仅填表，不保存）</x:v>
      </x:c>
      <x:c r="K1" s="4" t="str">
        <x:v>油猴脚本多运单填表测试数据（仅填表，不保存）</x:v>
      </x:c>
      <x:c r="L1" s="4" t="str">
        <x:v>油猴脚本多运单填表测试数据（仅填表，不保存）</x:v>
      </x:c>
      <x:c r="M1" s="4" t="str">
        <x:v>油猴脚本多运单填表测试数据（仅填表，不保存）</x:v>
      </x:c>
      <x:c r="N1" s="4" t="str">
        <x:v>油猴脚本多运单填表测试数据（仅填表，不保存）</x:v>
      </x:c>
      <x:c r="O1" s="4" t="str">
        <x:v>油猴脚本多运单填表测试数据（仅填表，不保存）</x:v>
      </x:c>
      <x:c r="P1" s="4" t="str">
        <x:v>油猴脚本多运单填表测试数据（仅填表，不保存）</x:v>
      </x:c>
    </x:row>
    <x:row r="2" ht="24" customHeight="1">
      <x:c r="A2" s="7" t="str">
        <x:v>共 6 条虚构订单；脚本每批创建并填写 2 个系统内部页签。请勿将这些数据用于真实业务。</x:v>
      </x:c>
      <x:c r="B2" s="7" t="str">
        <x:v>共 6 条虚构订单；脚本每批创建并填写 2 个系统内部页签。请勿将这些数据用于真实业务。</x:v>
      </x:c>
      <x:c r="C2" s="7" t="str">
        <x:v>共 6 条虚构订单；脚本每批创建并填写 2 个系统内部页签。请勿将这些数据用于真实业务。</x:v>
      </x:c>
      <x:c r="D2" s="7" t="str">
        <x:v>共 6 条虚构订单；脚本每批创建并填写 2 个系统内部页签。请勿将这些数据用于真实业务。</x:v>
      </x:c>
      <x:c r="E2" s="7" t="str">
        <x:v>共 6 条虚构订单；脚本每批创建并填写 2 个系统内部页签。请勿将这些数据用于真实业务。</x:v>
      </x:c>
      <x:c r="F2" s="7" t="str">
        <x:v>共 6 条虚构订单；脚本每批创建并填写 2 个系统内部页签。请勿将这些数据用于真实业务。</x:v>
      </x:c>
      <x:c r="G2" s="7" t="str">
        <x:v>共 6 条虚构订单；脚本每批创建并填写 2 个系统内部页签。请勿将这些数据用于真实业务。</x:v>
      </x:c>
      <x:c r="H2" s="7" t="str">
        <x:v>共 6 条虚构订单；脚本每批创建并填写 2 个系统内部页签。请勿将这些数据用于真实业务。</x:v>
      </x:c>
      <x:c r="I2" s="7" t="str">
        <x:v>共 6 条虚构订单；脚本每批创建并填写 2 个系统内部页签。请勿将这些数据用于真实业务。</x:v>
      </x:c>
      <x:c r="J2" s="7" t="str">
        <x:v>共 6 条虚构订单；脚本每批创建并填写 2 个系统内部页签。请勿将这些数据用于真实业务。</x:v>
      </x:c>
      <x:c r="K2" s="7" t="str">
        <x:v>共 6 条虚构订单；脚本每批创建并填写 2 个系统内部页签。请勿将这些数据用于真实业务。</x:v>
      </x:c>
      <x:c r="L2" s="7" t="str">
        <x:v>共 6 条虚构订单；脚本每批创建并填写 2 个系统内部页签。请勿将这些数据用于真实业务。</x:v>
      </x:c>
      <x:c r="M2" s="7" t="str">
        <x:v>共 6 条虚构订单；脚本每批创建并填写 2 个系统内部页签。请勿将这些数据用于真实业务。</x:v>
      </x:c>
      <x:c r="N2" s="7" t="str">
        <x:v>共 6 条虚构订单；脚本每批创建并填写 2 个系统内部页签。请勿将这些数据用于真实业务。</x:v>
      </x:c>
      <x:c r="O2" s="7" t="str">
        <x:v>共 6 条虚构订单；脚本每批创建并填写 2 个系统内部页签。请勿将这些数据用于真实业务。</x:v>
      </x:c>
      <x:c r="P2" s="7" t="str">
        <x:v>共 6 条虚构订单；脚本每批创建并填写 2 个系统内部页签。请勿将这些数据用于真实业务。</x:v>
      </x:c>
    </x:row>
    <x:row r="4" ht="23" customHeight="1">
      <x:c r="A4" s="19" t="str">
        <x:v>schema_version</x:v>
      </x:c>
      <x:c r="B4" s="20" t="str">
        <x:v>batch_id</x:v>
      </x:c>
      <x:c r="C4" s="20" t="str">
        <x:v>source_record_id</x:v>
      </x:c>
      <x:c r="D4" s="20" t="str">
        <x:v>source_label</x:v>
      </x:c>
      <x:c r="E4" s="20" t="str">
        <x:v>destination_text</x:v>
      </x:c>
      <x:c r="F4" s="20" t="str">
        <x:v>delivery_type</x:v>
      </x:c>
      <x:c r="G4" s="20" t="str">
        <x:v>sender_name</x:v>
      </x:c>
      <x:c r="H4" s="20" t="str">
        <x:v>receiver_name</x:v>
      </x:c>
      <x:c r="I4" s="20" t="str">
        <x:v>receiver_mobile</x:v>
      </x:c>
      <x:c r="J4" s="20" t="str">
        <x:v>goods_name</x:v>
      </x:c>
      <x:c r="K4" s="20" t="str">
        <x:v>package</x:v>
      </x:c>
      <x:c r="L4" s="20" t="str">
        <x:v>quantity</x:v>
      </x:c>
      <x:c r="M4" s="20" t="str">
        <x:v>weight</x:v>
      </x:c>
      <x:c r="N4" s="20" t="str">
        <x:v>volume</x:v>
      </x:c>
      <x:c r="O4" s="20" t="str">
        <x:v>freight</x:v>
      </x:c>
      <x:c r="P4" s="21" t="str">
        <x:v>payment_type</x:v>
      </x:c>
    </x:row>
    <x:row r="5" ht="23" customHeight="1">
      <x:c r="A5" s="29" t="str">
        <x:v>v1.0</x:v>
      </x:c>
      <x:c r="B5" s="29" t="str">
        <x:v>TEST-20260814</x:v>
      </x:c>
      <x:c r="C5" s="29" t="str">
        <x:v>TEST-0001</x:v>
      </x:c>
      <x:c r="D5" s="26" t="str">
        <x:v>完整送货</x:v>
      </x:c>
      <x:c r="E5" s="26" t="str">
        <x:v>通海县</x:v>
      </x:c>
      <x:c r="F5" s="26" t="str">
        <x:v>delivery</x:v>
      </x:c>
      <x:c r="G5" s="26" t="str">
        <x:v>测试发货人甲</x:v>
      </x:c>
      <x:c r="H5" s="26" t="str">
        <x:v>测试收货人甲</x:v>
      </x:c>
      <x:c r="I5" s="29" t="str">
        <x:v>13800000001</x:v>
      </x:c>
      <x:c r="J5" s="26" t="str">
        <x:v>测试纸箱A</x:v>
      </x:c>
      <x:c r="K5" s="26" t="str">
        <x:v>纸箱</x:v>
      </x:c>
      <x:c r="L5" s="32" t="n">
        <x:v>5</x:v>
      </x:c>
      <x:c r="M5" s="35" t="n">
        <x:v>10</x:v>
      </x:c>
      <x:c r="N5" s="35" t="n">
        <x:v>0.12</x:v>
      </x:c>
      <x:c r="O5" s="35" t="n">
        <x:v>20</x:v>
      </x:c>
      <x:c r="P5" s="26" t="str">
        <x:v>pay_billing</x:v>
      </x:c>
    </x:row>
    <x:row r="6" ht="23" customHeight="1">
      <x:c r="A6" s="30" t="str">
        <x:v>v1.0</x:v>
      </x:c>
      <x:c r="B6" s="30" t="str">
        <x:v>TEST-20260814</x:v>
      </x:c>
      <x:c r="C6" s="30" t="str">
        <x:v>TEST-0002</x:v>
      </x:c>
      <x:c r="D6" s="27" t="str">
        <x:v>完整自提与小数</x:v>
      </x:c>
      <x:c r="E6" s="27" t="str">
        <x:v>通海县</x:v>
      </x:c>
      <x:c r="F6" s="27" t="str">
        <x:v>pickup</x:v>
      </x:c>
      <x:c r="G6" s="27" t="str">
        <x:v>测试发货人乙</x:v>
      </x:c>
      <x:c r="H6" s="27" t="str">
        <x:v>测试收货人乙</x:v>
      </x:c>
      <x:c r="I6" s="30" t="str">
        <x:v>13800000002</x:v>
      </x:c>
      <x:c r="J6" s="27" t="str">
        <x:v>测试配件B</x:v>
      </x:c>
      <x:c r="K6" s="27" t="str">
        <x:v>木箱</x:v>
      </x:c>
      <x:c r="L6" s="33" t="n">
        <x:v>3</x:v>
      </x:c>
      <x:c r="M6" s="36" t="n">
        <x:v>12.5</x:v>
      </x:c>
      <x:c r="N6" s="36" t="n">
        <x:v>0.08</x:v>
      </x:c>
      <x:c r="O6" s="36" t="n">
        <x:v>35.5</x:v>
      </x:c>
      <x:c r="P6" s="27" t="str">
        <x:v>pay_billing</x:v>
      </x:c>
    </x:row>
    <x:row r="7" ht="23" customHeight="1">
      <x:c r="A7" s="30" t="str">
        <x:v>v1.0</x:v>
      </x:c>
      <x:c r="B7" s="30" t="str">
        <x:v>TEST-20260814</x:v>
      </x:c>
      <x:c r="C7" s="30" t="str">
        <x:v>TEST-0003</x:v>
      </x:c>
      <x:c r="D7" s="27" t="str">
        <x:v>空收货电话</x:v>
      </x:c>
      <x:c r="E7" s="27" t="str">
        <x:v>通海县</x:v>
      </x:c>
      <x:c r="F7" s="27" t="str">
        <x:v>delivery</x:v>
      </x:c>
      <x:c r="G7" s="27" t="str">
        <x:v>测试发货人丙</x:v>
      </x:c>
      <x:c r="H7" s="27" t="str">
        <x:v>测试收货人丙</x:v>
      </x:c>
      <x:c r="I7" s="30" t="str"/>
      <x:c r="J7" s="27" t="str">
        <x:v>测试日用品C</x:v>
      </x:c>
      <x:c r="K7" s="27" t="str">
        <x:v>编织袋</x:v>
      </x:c>
      <x:c r="L7" s="33" t="n">
        <x:v>12</x:v>
      </x:c>
      <x:c r="M7" s="36" t="n">
        <x:v>30.25</x:v>
      </x:c>
      <x:c r="N7" s="36" t="n">
        <x:v>0.35</x:v>
      </x:c>
      <x:c r="O7" s="36" t="n">
        <x:v>48</x:v>
      </x:c>
      <x:c r="P7" s="27" t="str">
        <x:v>pay_billing</x:v>
      </x:c>
    </x:row>
    <x:row r="8" ht="23" customHeight="1">
      <x:c r="A8" s="30" t="str">
        <x:v>v1.0</x:v>
      </x:c>
      <x:c r="B8" s="30" t="str">
        <x:v>TEST-20260814</x:v>
      </x:c>
      <x:c r="C8" s="30" t="str">
        <x:v>TEST-0004</x:v>
      </x:c>
      <x:c r="D8" s="27" t="str">
        <x:v>空包装</x:v>
      </x:c>
      <x:c r="E8" s="27" t="str">
        <x:v>通海县</x:v>
      </x:c>
      <x:c r="F8" s="27" t="str">
        <x:v>pickup</x:v>
      </x:c>
      <x:c r="G8" s="27" t="str">
        <x:v>测试发货人丁</x:v>
      </x:c>
      <x:c r="H8" s="27" t="str">
        <x:v>测试收货人丁</x:v>
      </x:c>
      <x:c r="I8" s="30" t="str">
        <x:v>13800000004</x:v>
      </x:c>
      <x:c r="J8" s="27" t="str">
        <x:v>测试样品D</x:v>
      </x:c>
      <x:c r="K8" s="27" t="str"/>
      <x:c r="L8" s="33" t="n">
        <x:v>1</x:v>
      </x:c>
      <x:c r="M8" s="36" t="n">
        <x:v>8.75</x:v>
      </x:c>
      <x:c r="N8" s="36" t="n">
        <x:v>0.03</x:v>
      </x:c>
      <x:c r="O8" s="36" t="n">
        <x:v>18</x:v>
      </x:c>
      <x:c r="P8" s="27" t="str">
        <x:v>pay_billing</x:v>
      </x:c>
    </x:row>
    <x:row r="9" ht="23" customHeight="1">
      <x:c r="A9" s="30" t="str">
        <x:v>v1.0</x:v>
      </x:c>
      <x:c r="B9" s="30" t="str">
        <x:v>TEST-20260814</x:v>
      </x:c>
      <x:c r="C9" s="30" t="str">
        <x:v>TEST-0005</x:v>
      </x:c>
      <x:c r="D9" s="27" t="str">
        <x:v>空重量</x:v>
      </x:c>
      <x:c r="E9" s="27" t="str">
        <x:v>通海县</x:v>
      </x:c>
      <x:c r="F9" s="27" t="str">
        <x:v>delivery</x:v>
      </x:c>
      <x:c r="G9" s="27" t="str">
        <x:v>测试发货人戊</x:v>
      </x:c>
      <x:c r="H9" s="27" t="str">
        <x:v>测试收货人戊</x:v>
      </x:c>
      <x:c r="I9" s="30" t="str">
        <x:v>13800000005</x:v>
      </x:c>
      <x:c r="J9" s="27" t="str">
        <x:v>测试文件E</x:v>
      </x:c>
      <x:c r="K9" s="27" t="str">
        <x:v>纸箱</x:v>
      </x:c>
      <x:c r="L9" s="33" t="n">
        <x:v>7</x:v>
      </x:c>
      <x:c r="M9" s="36"/>
      <x:c r="N9" s="36" t="n">
        <x:v>0.21</x:v>
      </x:c>
      <x:c r="O9" s="36" t="n">
        <x:v>26.5</x:v>
      </x:c>
      <x:c r="P9" s="27" t="str">
        <x:v>pay_billing</x:v>
      </x:c>
    </x:row>
    <x:row r="10" ht="23" customHeight="1">
      <x:c r="A10" s="31" t="str">
        <x:v>v1.0</x:v>
      </x:c>
      <x:c r="B10" s="31" t="str">
        <x:v>TEST-20260814</x:v>
      </x:c>
      <x:c r="C10" s="31" t="str">
        <x:v>TEST-0006</x:v>
      </x:c>
      <x:c r="D10" s="28" t="str">
        <x:v>空体积与大件数</x:v>
      </x:c>
      <x:c r="E10" s="28" t="str">
        <x:v>通海县</x:v>
      </x:c>
      <x:c r="F10" s="28" t="str">
        <x:v>pickup</x:v>
      </x:c>
      <x:c r="G10" s="28" t="str">
        <x:v>测试发货人己</x:v>
      </x:c>
      <x:c r="H10" s="28" t="str">
        <x:v>测试收货人己</x:v>
      </x:c>
      <x:c r="I10" s="31" t="str">
        <x:v>13800000006</x:v>
      </x:c>
      <x:c r="J10" s="28" t="str">
        <x:v>测试零件F</x:v>
      </x:c>
      <x:c r="K10" s="28" t="str">
        <x:v>托盘</x:v>
      </x:c>
      <x:c r="L10" s="34" t="n">
        <x:v>20</x:v>
      </x:c>
      <x:c r="M10" s="37" t="n">
        <x:v>55.5</x:v>
      </x:c>
      <x:c r="N10" s="37"/>
      <x:c r="O10" s="37" t="n">
        <x:v>66</x:v>
      </x:c>
      <x:c r="P10" s="28" t="str">
        <x:v>pay_billing</x:v>
      </x:c>
    </x:row>
  </x:sheetData>
  <x:mergeCells>
    <x:mergeCell ref="A1:P1"/>
    <x:mergeCell ref="A2:P2"/>
  </x:mergeCells>
  <x:dataValidations count="3">
    <x:dataValidation type="list" sqref="F5:F104">
      <x:formula1>"delivery,pickup"</x:formula1>
    </x:dataValidation>
    <x:dataValidation type="list" sqref="P5:P104">
      <x:formula1>"pay_billing"</x:formula1>
    </x:dataValidation>
    <x:dataValidation type="whole" operator="between" sqref="L5:L104">
      <x:formula1>1</x:formula1>
      <x:formula2>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02bbd28c23946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3" hidden="0" customWidth="1"/>
    <x:col min="4" max="4" width="13" hidden="0" customWidth="1"/>
    <x:col min="5" max="5" width="24" hidden="0" customWidth="1"/>
    <x:col min="6" max="6" width="32" hidden="0" customWidth="1"/>
    <x:col min="7" max="7" width="14" hidden="0" customWidth="1"/>
    <x:col min="8" max="8" width="28" hidden="0" customWidth="1"/>
  </x:cols>
  <x:sheetData>
    <x:row r="1" ht="30" customHeight="1">
      <x:c r="A1" s="4" t="str">
        <x:v>字段说明与网页映射</x:v>
      </x:c>
      <x:c r="B1" s="4" t="str">
        <x:v>字段说明与网页映射</x:v>
      </x:c>
      <x:c r="C1" s="4" t="str">
        <x:v>字段说明与网页映射</x:v>
      </x:c>
      <x:c r="D1" s="4" t="str">
        <x:v>字段说明与网页映射</x:v>
      </x:c>
      <x:c r="E1" s="4" t="str">
        <x:v>字段说明与网页映射</x:v>
      </x:c>
      <x:c r="F1" s="4" t="str">
        <x:v>字段说明与网页映射</x:v>
      </x:c>
      <x:c r="G1" s="4" t="str">
        <x:v>字段说明与网页映射</x:v>
      </x:c>
      <x:c r="H1" s="4" t="str">
        <x:v>字段说明与网页映射</x:v>
      </x:c>
    </x:row>
    <x:row r="3" ht="28" customHeight="1">
      <x:c r="A3" s="44" t="str">
        <x:v>Excel 列名</x:v>
      </x:c>
      <x:c r="B3" s="45" t="str">
        <x:v>中文含义</x:v>
      </x:c>
      <x:c r="C3" s="45" t="str">
        <x:v>类型</x:v>
      </x:c>
      <x:c r="D3" s="45" t="str">
        <x:v>必填</x:v>
      </x:c>
      <x:c r="E3" s="45" t="str">
        <x:v>网页字段标签</x:v>
      </x:c>
      <x:c r="F3" s="45" t="str">
        <x:v>转换/填写规则</x:v>
      </x:c>
      <x:c r="G3" s="45" t="str">
        <x:v>分类</x:v>
      </x:c>
      <x:c r="H3" s="45" t="str">
        <x:v>备注</x:v>
      </x:c>
    </x:row>
    <x:row r="4" ht="28" customHeight="1">
      <x:c r="A4" s="46" t="str">
        <x:v>schema_version</x:v>
      </x:c>
      <x:c r="B4" s="42" t="str">
        <x:v>契约版本</x:v>
      </x:c>
      <x:c r="C4" s="42" t="str">
        <x:v>文本</x:v>
      </x:c>
      <x:c r="D4" s="42" t="str">
        <x:v>是</x:v>
      </x:c>
      <x:c r="E4" s="42" t="str">
        <x:v>不写入网页</x:v>
      </x:c>
      <x:c r="F4" s="42" t="str">
        <x:v>仅用于导入兼容性检查</x:v>
      </x:c>
      <x:c r="G4" s="42" t="str">
        <x:v>元数据</x:v>
      </x:c>
      <x:c r="H4" s="42" t="str">
        <x:v>固定为 v1.0</x:v>
      </x:c>
    </x:row>
    <x:row r="5" ht="28" customHeight="1">
      <x:c r="A5" s="46" t="str">
        <x:v>batch_id</x:v>
      </x:c>
      <x:c r="B5" s="42" t="str">
        <x:v>批次编号</x:v>
      </x:c>
      <x:c r="C5" s="42" t="str">
        <x:v>文本</x:v>
      </x:c>
      <x:c r="D5" s="42" t="str">
        <x:v>是</x:v>
      </x:c>
      <x:c r="E5" s="42" t="str">
        <x:v>不写入网页</x:v>
      </x:c>
      <x:c r="F5" s="42" t="str">
        <x:v>用于批次追踪</x:v>
      </x:c>
      <x:c r="G5" s="42" t="str">
        <x:v>元数据</x:v>
      </x:c>
      <x:c r="H5" s="42" t="str">
        <x:v>同批记录保持一致</x:v>
      </x:c>
    </x:row>
    <x:row r="6" ht="28" customHeight="1">
      <x:c r="A6" s="46" t="str">
        <x:v>source_record_id</x:v>
      </x:c>
      <x:c r="B6" s="42" t="str">
        <x:v>来源记录编号</x:v>
      </x:c>
      <x:c r="C6" s="42" t="str">
        <x:v>文本</x:v>
      </x:c>
      <x:c r="D6" s="42" t="str">
        <x:v>是</x:v>
      </x:c>
      <x:c r="E6" s="42" t="str">
        <x:v>不写入网页</x:v>
      </x:c>
      <x:c r="F6" s="42" t="str">
        <x:v>用于页签绑定和报告</x:v>
      </x:c>
      <x:c r="G6" s="42" t="str">
        <x:v>元数据</x:v>
      </x:c>
      <x:c r="H6" s="42" t="str">
        <x:v>必须唯一；保留前导零</x:v>
      </x:c>
    </x:row>
    <x:row r="7" ht="28" customHeight="1">
      <x:c r="A7" s="46" t="str">
        <x:v>source_label</x:v>
      </x:c>
      <x:c r="B7" s="42" t="str">
        <x:v>测试场景</x:v>
      </x:c>
      <x:c r="C7" s="42" t="str">
        <x:v>文本</x:v>
      </x:c>
      <x:c r="D7" s="42" t="str">
        <x:v>否</x:v>
      </x:c>
      <x:c r="E7" s="42" t="str">
        <x:v>不写入网页</x:v>
      </x:c>
      <x:c r="F7" s="42" t="str">
        <x:v>仅用于人工核对</x:v>
      </x:c>
      <x:c r="G7" s="42" t="str">
        <x:v>元数据</x:v>
      </x:c>
      <x:c r="H7" s="42" t="str">
        <x:v>不得包含真实个人信息</x:v>
      </x:c>
    </x:row>
    <x:row r="8" ht="28" customHeight="1">
      <x:c r="A8" s="46" t="str">
        <x:v>destination_text</x:v>
      </x:c>
      <x:c r="B8" s="42" t="str">
        <x:v>到站</x:v>
      </x:c>
      <x:c r="C8" s="42" t="str">
        <x:v>文本</x:v>
      </x:c>
      <x:c r="D8" s="42" t="str">
        <x:v>是</x:v>
      </x:c>
      <x:c r="E8" s="42" t="str">
        <x:v>到站</x:v>
      </x:c>
      <x:c r="F8" s="42" t="str">
        <x:v>输入后选择精确文本候选</x:v>
      </x:c>
      <x:c r="G8" s="42" t="str">
        <x:v>业务字段</x:v>
      </x:c>
      <x:c r="H8" s="42" t="str">
        <x:v>本轮统一为通海县</x:v>
      </x:c>
    </x:row>
    <x:row r="9" ht="28" customHeight="1">
      <x:c r="A9" s="46" t="str">
        <x:v>delivery_type</x:v>
      </x:c>
      <x:c r="B9" s="42" t="str">
        <x:v>送货方式</x:v>
      </x:c>
      <x:c r="C9" s="42" t="str">
        <x:v>枚举</x:v>
      </x:c>
      <x:c r="D9" s="42" t="str">
        <x:v>是</x:v>
      </x:c>
      <x:c r="E9" s="42" t="str">
        <x:v>送货方式/交货方式</x:v>
      </x:c>
      <x:c r="F9" s="42" t="str">
        <x:v>delivery→送货；pickup→自提</x:v>
      </x:c>
      <x:c r="G9" s="42" t="str">
        <x:v>业务字段</x:v>
      </x:c>
      <x:c r="H9" s="42" t="str">
        <x:v>未知枚举阻断</x:v>
      </x:c>
    </x:row>
    <x:row r="10" ht="28" customHeight="1">
      <x:c r="A10" s="46" t="str">
        <x:v>sender_name</x:v>
      </x:c>
      <x:c r="B10" s="42" t="str">
        <x:v>发货人</x:v>
      </x:c>
      <x:c r="C10" s="42" t="str">
        <x:v>文本</x:v>
      </x:c>
      <x:c r="D10" s="42" t="str">
        <x:v>是</x:v>
      </x:c>
      <x:c r="E10" s="42" t="str">
        <x:v>发货人/托运人</x:v>
      </x:c>
      <x:c r="F10" s="42" t="str">
        <x:v>原样填写</x:v>
      </x:c>
      <x:c r="G10" s="42" t="str">
        <x:v>业务字段</x:v>
      </x:c>
      <x:c r="H10" s="42" t="str">
        <x:v>仅使用虚构姓名</x:v>
      </x:c>
    </x:row>
    <x:row r="11" ht="28" customHeight="1">
      <x:c r="A11" s="46" t="str">
        <x:v>receiver_name</x:v>
      </x:c>
      <x:c r="B11" s="42" t="str">
        <x:v>收货人</x:v>
      </x:c>
      <x:c r="C11" s="42" t="str">
        <x:v>文本</x:v>
      </x:c>
      <x:c r="D11" s="42" t="str">
        <x:v>是</x:v>
      </x:c>
      <x:c r="E11" s="42" t="str">
        <x:v>收货人/提货人</x:v>
      </x:c>
      <x:c r="F11" s="42" t="str">
        <x:v>原样填写</x:v>
      </x:c>
      <x:c r="G11" s="42" t="str">
        <x:v>业务字段</x:v>
      </x:c>
      <x:c r="H11" s="42" t="str">
        <x:v>仅使用虚构姓名</x:v>
      </x:c>
    </x:row>
    <x:row r="12" ht="28" customHeight="1">
      <x:c r="A12" s="46" t="str">
        <x:v>receiver_mobile</x:v>
      </x:c>
      <x:c r="B12" s="42" t="str">
        <x:v>收货电话</x:v>
      </x:c>
      <x:c r="C12" s="42" t="str">
        <x:v>文本</x:v>
      </x:c>
      <x:c r="D12" s="42" t="str">
        <x:v>否</x:v>
      </x:c>
      <x:c r="E12" s="42" t="str">
        <x:v>收货电话/收货人手机</x:v>
      </x:c>
      <x:c r="F12" s="42" t="str">
        <x:v>空值清空；不转数字</x:v>
      </x:c>
      <x:c r="G12" s="42" t="str">
        <x:v>业务字段</x:v>
      </x:c>
      <x:c r="H12" s="42" t="str">
        <x:v>本轮包含一条空值</x:v>
      </x:c>
    </x:row>
    <x:row r="13" ht="28" customHeight="1">
      <x:c r="A13" s="46" t="str">
        <x:v>goods_name</x:v>
      </x:c>
      <x:c r="B13" s="42" t="str">
        <x:v>货物名称</x:v>
      </x:c>
      <x:c r="C13" s="42" t="str">
        <x:v>文本</x:v>
      </x:c>
      <x:c r="D13" s="42" t="str">
        <x:v>是</x:v>
      </x:c>
      <x:c r="E13" s="42" t="str">
        <x:v>货物名称/品名</x:v>
      </x:c>
      <x:c r="F13" s="42" t="str">
        <x:v>原样填写</x:v>
      </x:c>
      <x:c r="G13" s="42" t="str">
        <x:v>业务字段</x:v>
      </x:c>
      <x:c r="H13" s="42" t="str">
        <x:v>V1 单货物行</x:v>
      </x:c>
    </x:row>
    <x:row r="14" ht="28" customHeight="1">
      <x:c r="A14" s="46" t="str">
        <x:v>package</x:v>
      </x:c>
      <x:c r="B14" s="42" t="str">
        <x:v>包装</x:v>
      </x:c>
      <x:c r="C14" s="42" t="str">
        <x:v>文本</x:v>
      </x:c>
      <x:c r="D14" s="42" t="str">
        <x:v>否</x:v>
      </x:c>
      <x:c r="E14" s="42" t="str">
        <x:v>包装/包装方式</x:v>
      </x:c>
      <x:c r="F14" s="42" t="str">
        <x:v>空值清空</x:v>
      </x:c>
      <x:c r="G14" s="42" t="str">
        <x:v>业务字段</x:v>
      </x:c>
      <x:c r="H14" s="42" t="str">
        <x:v>本轮包含一条空值</x:v>
      </x:c>
    </x:row>
    <x:row r="15" ht="28" customHeight="1">
      <x:c r="A15" s="46" t="str">
        <x:v>quantity</x:v>
      </x:c>
      <x:c r="B15" s="42" t="str">
        <x:v>件数</x:v>
      </x:c>
      <x:c r="C15" s="42" t="str">
        <x:v>正整数</x:v>
      </x:c>
      <x:c r="D15" s="42" t="str">
        <x:v>是</x:v>
      </x:c>
      <x:c r="E15" s="42" t="str">
        <x:v>件数/数量</x:v>
      </x:c>
      <x:c r="F15" s="42" t="str">
        <x:v>按整数填写</x:v>
      </x:c>
      <x:c r="G15" s="42" t="str">
        <x:v>业务字段</x:v>
      </x:c>
      <x:c r="H15" s="42" t="str">
        <x:v>不得为零或小数</x:v>
      </x:c>
    </x:row>
    <x:row r="16" ht="28" customHeight="1">
      <x:c r="A16" s="46" t="str">
        <x:v>weight</x:v>
      </x:c>
      <x:c r="B16" s="42" t="str">
        <x:v>重量</x:v>
      </x:c>
      <x:c r="C16" s="42" t="str">
        <x:v>非负小数</x:v>
      </x:c>
      <x:c r="D16" s="42" t="str">
        <x:v>否</x:v>
      </x:c>
      <x:c r="E16" s="42" t="str">
        <x:v>重量</x:v>
      </x:c>
      <x:c r="F16" s="42" t="str">
        <x:v>空值清空；数值原样填写</x:v>
      </x:c>
      <x:c r="G16" s="42" t="str">
        <x:v>业务字段</x:v>
      </x:c>
      <x:c r="H16" s="42" t="str">
        <x:v>单位沿用网站页面</x:v>
      </x:c>
    </x:row>
    <x:row r="17" ht="28" customHeight="1">
      <x:c r="A17" s="46" t="str">
        <x:v>volume</x:v>
      </x:c>
      <x:c r="B17" s="42" t="str">
        <x:v>体积</x:v>
      </x:c>
      <x:c r="C17" s="42" t="str">
        <x:v>非负小数</x:v>
      </x:c>
      <x:c r="D17" s="42" t="str">
        <x:v>否</x:v>
      </x:c>
      <x:c r="E17" s="42" t="str">
        <x:v>体积</x:v>
      </x:c>
      <x:c r="F17" s="42" t="str">
        <x:v>空值清空；数值原样填写</x:v>
      </x:c>
      <x:c r="G17" s="42" t="str">
        <x:v>业务字段</x:v>
      </x:c>
      <x:c r="H17" s="42" t="str">
        <x:v>单位沿用网站页面</x:v>
      </x:c>
    </x:row>
    <x:row r="18" ht="28" customHeight="1">
      <x:c r="A18" s="46" t="str">
        <x:v>freight</x:v>
      </x:c>
      <x:c r="B18" s="42" t="str">
        <x:v>运费</x:v>
      </x:c>
      <x:c r="C18" s="42" t="str">
        <x:v>非负小数</x:v>
      </x:c>
      <x:c r="D18" s="42" t="str">
        <x:v>是</x:v>
      </x:c>
      <x:c r="E18" s="42" t="str">
        <x:v>运费</x:v>
      </x:c>
      <x:c r="F18" s="42" t="str">
        <x:v>按金额填写，最多两位小数</x:v>
      </x:c>
      <x:c r="G18" s="42" t="str">
        <x:v>业务字段</x:v>
      </x:c>
      <x:c r="H18" s="42" t="str">
        <x:v>不允许负数</x:v>
      </x:c>
    </x:row>
    <x:row r="19" ht="28" customHeight="1">
      <x:c r="A19" s="47" t="str">
        <x:v>payment_type</x:v>
      </x:c>
      <x:c r="B19" s="48" t="str">
        <x:v>付款方式</x:v>
      </x:c>
      <x:c r="C19" s="48" t="str">
        <x:v>枚举</x:v>
      </x:c>
      <x:c r="D19" s="48" t="str">
        <x:v>是</x:v>
      </x:c>
      <x:c r="E19" s="48" t="str">
        <x:v>付款方式/支付方式</x:v>
      </x:c>
      <x:c r="F19" s="48" t="str">
        <x:v>pay_billing→现付</x:v>
      </x:c>
      <x:c r="G19" s="48" t="str">
        <x:v>业务字段</x:v>
      </x:c>
      <x:c r="H19" s="48" t="str">
        <x:v>本轮仅支持现付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2f86136919c45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4" hidden="0" customWidth="1"/>
  </x:cols>
  <x:sheetData>
    <x:row r="1" ht="30" customHeight="1">
      <x:c r="A1" s="4" t="str">
        <x:v>网页填表后的预期结果（由导入数据公式驱动）</x:v>
      </x:c>
      <x:c r="B1" s="4" t="str">
        <x:v>网页填表后的预期结果（由导入数据公式驱动）</x:v>
      </x:c>
      <x:c r="C1" s="4" t="str">
        <x:v>网页填表后的预期结果（由导入数据公式驱动）</x:v>
      </x:c>
      <x:c r="D1" s="4" t="str">
        <x:v>网页填表后的预期结果（由导入数据公式驱动）</x:v>
      </x:c>
      <x:c r="E1" s="4" t="str">
        <x:v>网页填表后的预期结果（由导入数据公式驱动）</x:v>
      </x:c>
      <x:c r="F1" s="4" t="str">
        <x:v>网页填表后的预期结果（由导入数据公式驱动）</x:v>
      </x:c>
      <x:c r="G1" s="4" t="str">
        <x:v>网页填表后的预期结果（由导入数据公式驱动）</x:v>
      </x:c>
      <x:c r="H1" s="4" t="str">
        <x:v>网页填表后的预期结果（由导入数据公式驱动）</x:v>
      </x:c>
      <x:c r="I1" s="4" t="str">
        <x:v>网页填表后的预期结果（由导入数据公式驱动）</x:v>
      </x:c>
      <x:c r="J1" s="4" t="str">
        <x:v>网页填表后的预期结果（由导入数据公式驱动）</x:v>
      </x:c>
      <x:c r="K1" s="4" t="str">
        <x:v>网页填表后的预期结果（由导入数据公式驱动）</x:v>
      </x:c>
      <x:c r="L1" s="4" t="str">
        <x:v>网页填表后的预期结果（由导入数据公式驱动）</x:v>
      </x:c>
      <x:c r="M1" s="4" t="str">
        <x:v>网页填表后的预期结果（由导入数据公式驱动）</x:v>
      </x:c>
      <x:c r="N1" s="4" t="str">
        <x:v>网页填表后的预期结果（由导入数据公式驱动）</x:v>
      </x:c>
    </x:row>
    <x:row r="3" ht="24" customHeight="1">
      <x:c r="A3" s="19" t="str">
        <x:v>记录编号</x:v>
      </x:c>
      <x:c r="B3" s="20" t="str">
        <x:v>测试场景</x:v>
      </x:c>
      <x:c r="C3" s="20" t="str">
        <x:v>到站</x:v>
      </x:c>
      <x:c r="D3" s="20" t="str">
        <x:v>送货方式</x:v>
      </x:c>
      <x:c r="E3" s="20" t="str">
        <x:v>发货人</x:v>
      </x:c>
      <x:c r="F3" s="20" t="str">
        <x:v>收货人</x:v>
      </x:c>
      <x:c r="G3" s="20" t="str">
        <x:v>收货电话</x:v>
      </x:c>
      <x:c r="H3" s="20" t="str">
        <x:v>货物名称</x:v>
      </x:c>
      <x:c r="I3" s="20" t="str">
        <x:v>包装</x:v>
      </x:c>
      <x:c r="J3" s="20" t="str">
        <x:v>件数</x:v>
      </x:c>
      <x:c r="K3" s="20" t="str">
        <x:v>重量</x:v>
      </x:c>
      <x:c r="L3" s="20" t="str">
        <x:v>体积</x:v>
      </x:c>
      <x:c r="M3" s="20" t="str">
        <x:v>运费</x:v>
      </x:c>
      <x:c r="N3" s="21" t="str">
        <x:v>付款方式</x:v>
      </x:c>
    </x:row>
    <x:row r="4" ht="24" customHeight="1">
      <x:c r="A4" s="29" t="str">
        <x:f>'导入数据'!C5</x:f>
        <x:v>TEST-0001</x:v>
      </x:c>
      <x:c r="B4" s="26" t="str">
        <x:f>'导入数据'!D5</x:f>
        <x:v>完整送货</x:v>
      </x:c>
      <x:c r="C4" s="26" t="str">
        <x:f>'导入数据'!E5</x:f>
        <x:v>通海县</x:v>
      </x:c>
      <x:c r="D4" s="26" t="str">
        <x:f>IF('导入数据'!F5="delivery","送货","自提")</x:f>
        <x:v>送货</x:v>
      </x:c>
      <x:c r="E4" s="26" t="str">
        <x:f>'导入数据'!G5</x:f>
        <x:v>测试发货人甲</x:v>
      </x:c>
      <x:c r="F4" s="26" t="str">
        <x:f>'导入数据'!H5</x:f>
        <x:v>测试收货人甲</x:v>
      </x:c>
      <x:c r="G4" s="29" t="str">
        <x:f>IF('导入数据'!I5="","",'导入数据'!I5)</x:f>
        <x:v>13800000001</x:v>
      </x:c>
      <x:c r="H4" s="26" t="str">
        <x:f>'导入数据'!J5</x:f>
        <x:v>测试纸箱A</x:v>
      </x:c>
      <x:c r="I4" s="26" t="str">
        <x:f>IF('导入数据'!K5="","",'导入数据'!K5)</x:f>
        <x:v>纸箱</x:v>
      </x:c>
      <x:c r="J4" s="32" t="n">
        <x:f>'导入数据'!L5</x:f>
        <x:v>5</x:v>
      </x:c>
      <x:c r="K4" s="35" t="n">
        <x:f>IF('导入数据'!M5="","",'导入数据'!M5)</x:f>
        <x:v>10</x:v>
      </x:c>
      <x:c r="L4" s="35" t="n">
        <x:f>IF('导入数据'!N5="","",'导入数据'!N5)</x:f>
        <x:v>0.12</x:v>
      </x:c>
      <x:c r="M4" s="35" t="n">
        <x:f>'导入数据'!O5</x:f>
        <x:v>20</x:v>
      </x:c>
      <x:c r="N4" s="26" t="str">
        <x:f>IF('导入数据'!P5="pay_billing","现付","未支持")</x:f>
        <x:v>现付</x:v>
      </x:c>
    </x:row>
    <x:row r="5" ht="24" customHeight="1">
      <x:c r="A5" s="30" t="str">
        <x:f>'导入数据'!C6</x:f>
        <x:v>TEST-0002</x:v>
      </x:c>
      <x:c r="B5" s="27" t="str">
        <x:f>'导入数据'!D6</x:f>
        <x:v>完整自提与小数</x:v>
      </x:c>
      <x:c r="C5" s="27" t="str">
        <x:f>'导入数据'!E6</x:f>
        <x:v>通海县</x:v>
      </x:c>
      <x:c r="D5" s="27" t="str">
        <x:f>IF('导入数据'!F6="delivery","送货","自提")</x:f>
        <x:v>自提</x:v>
      </x:c>
      <x:c r="E5" s="27" t="str">
        <x:f>'导入数据'!G6</x:f>
        <x:v>测试发货人乙</x:v>
      </x:c>
      <x:c r="F5" s="27" t="str">
        <x:f>'导入数据'!H6</x:f>
        <x:v>测试收货人乙</x:v>
      </x:c>
      <x:c r="G5" s="30" t="str">
        <x:f>IF('导入数据'!I6="","",'导入数据'!I6)</x:f>
        <x:v>13800000002</x:v>
      </x:c>
      <x:c r="H5" s="27" t="str">
        <x:f>'导入数据'!J6</x:f>
        <x:v>测试配件B</x:v>
      </x:c>
      <x:c r="I5" s="27" t="str">
        <x:f>IF('导入数据'!K6="","",'导入数据'!K6)</x:f>
        <x:v>木箱</x:v>
      </x:c>
      <x:c r="J5" s="33" t="n">
        <x:f>'导入数据'!L6</x:f>
        <x:v>3</x:v>
      </x:c>
      <x:c r="K5" s="36" t="n">
        <x:f>IF('导入数据'!M6="","",'导入数据'!M6)</x:f>
        <x:v>12.5</x:v>
      </x:c>
      <x:c r="L5" s="36" t="n">
        <x:f>IF('导入数据'!N6="","",'导入数据'!N6)</x:f>
        <x:v>0.08</x:v>
      </x:c>
      <x:c r="M5" s="36" t="n">
        <x:f>'导入数据'!O6</x:f>
        <x:v>35.5</x:v>
      </x:c>
      <x:c r="N5" s="27" t="str">
        <x:f>IF('导入数据'!P6="pay_billing","现付","未支持")</x:f>
        <x:v>现付</x:v>
      </x:c>
    </x:row>
    <x:row r="6" ht="24" customHeight="1">
      <x:c r="A6" s="30" t="str">
        <x:f>'导入数据'!C7</x:f>
        <x:v>TEST-0003</x:v>
      </x:c>
      <x:c r="B6" s="27" t="str">
        <x:f>'导入数据'!D7</x:f>
        <x:v>空收货电话</x:v>
      </x:c>
      <x:c r="C6" s="27" t="str">
        <x:f>'导入数据'!E7</x:f>
        <x:v>通海县</x:v>
      </x:c>
      <x:c r="D6" s="27" t="str">
        <x:f>IF('导入数据'!F7="delivery","送货","自提")</x:f>
        <x:v>送货</x:v>
      </x:c>
      <x:c r="E6" s="27" t="str">
        <x:f>'导入数据'!G7</x:f>
        <x:v>测试发货人丙</x:v>
      </x:c>
      <x:c r="F6" s="27" t="str">
        <x:f>'导入数据'!H7</x:f>
        <x:v>测试收货人丙</x:v>
      </x:c>
      <x:c r="G6" s="30" t="str">
        <x:f>IF('导入数据'!I7="","",'导入数据'!I7)</x:f>
      </x:c>
      <x:c r="H6" s="27" t="str">
        <x:f>'导入数据'!J7</x:f>
        <x:v>测试日用品C</x:v>
      </x:c>
      <x:c r="I6" s="27" t="str">
        <x:f>IF('导入数据'!K7="","",'导入数据'!K7)</x:f>
        <x:v>编织袋</x:v>
      </x:c>
      <x:c r="J6" s="33" t="n">
        <x:f>'导入数据'!L7</x:f>
        <x:v>12</x:v>
      </x:c>
      <x:c r="K6" s="36" t="n">
        <x:f>IF('导入数据'!M7="","",'导入数据'!M7)</x:f>
        <x:v>30.25</x:v>
      </x:c>
      <x:c r="L6" s="36" t="n">
        <x:f>IF('导入数据'!N7="","",'导入数据'!N7)</x:f>
        <x:v>0.35</x:v>
      </x:c>
      <x:c r="M6" s="36" t="n">
        <x:f>'导入数据'!O7</x:f>
        <x:v>48</x:v>
      </x:c>
      <x:c r="N6" s="27" t="str">
        <x:f>IF('导入数据'!P7="pay_billing","现付","未支持")</x:f>
        <x:v>现付</x:v>
      </x:c>
    </x:row>
    <x:row r="7" ht="24" customHeight="1">
      <x:c r="A7" s="30" t="str">
        <x:f>'导入数据'!C8</x:f>
        <x:v>TEST-0004</x:v>
      </x:c>
      <x:c r="B7" s="27" t="str">
        <x:f>'导入数据'!D8</x:f>
        <x:v>空包装</x:v>
      </x:c>
      <x:c r="C7" s="27" t="str">
        <x:f>'导入数据'!E8</x:f>
        <x:v>通海县</x:v>
      </x:c>
      <x:c r="D7" s="27" t="str">
        <x:f>IF('导入数据'!F8="delivery","送货","自提")</x:f>
        <x:v>自提</x:v>
      </x:c>
      <x:c r="E7" s="27" t="str">
        <x:f>'导入数据'!G8</x:f>
        <x:v>测试发货人丁</x:v>
      </x:c>
      <x:c r="F7" s="27" t="str">
        <x:f>'导入数据'!H8</x:f>
        <x:v>测试收货人丁</x:v>
      </x:c>
      <x:c r="G7" s="30" t="str">
        <x:f>IF('导入数据'!I8="","",'导入数据'!I8)</x:f>
        <x:v>13800000004</x:v>
      </x:c>
      <x:c r="H7" s="27" t="str">
        <x:f>'导入数据'!J8</x:f>
        <x:v>测试样品D</x:v>
      </x:c>
      <x:c r="I7" s="27" t="str">
        <x:f>IF('导入数据'!K8="","",'导入数据'!K8)</x:f>
      </x:c>
      <x:c r="J7" s="33" t="n">
        <x:f>'导入数据'!L8</x:f>
        <x:v>1</x:v>
      </x:c>
      <x:c r="K7" s="36" t="n">
        <x:f>IF('导入数据'!M8="","",'导入数据'!M8)</x:f>
        <x:v>8.75</x:v>
      </x:c>
      <x:c r="L7" s="36" t="n">
        <x:f>IF('导入数据'!N8="","",'导入数据'!N8)</x:f>
        <x:v>0.03</x:v>
      </x:c>
      <x:c r="M7" s="36" t="n">
        <x:f>'导入数据'!O8</x:f>
        <x:v>18</x:v>
      </x:c>
      <x:c r="N7" s="27" t="str">
        <x:f>IF('导入数据'!P8="pay_billing","现付","未支持")</x:f>
        <x:v>现付</x:v>
      </x:c>
    </x:row>
    <x:row r="8" ht="24" customHeight="1">
      <x:c r="A8" s="30" t="str">
        <x:f>'导入数据'!C9</x:f>
        <x:v>TEST-0005</x:v>
      </x:c>
      <x:c r="B8" s="27" t="str">
        <x:f>'导入数据'!D9</x:f>
        <x:v>空重量</x:v>
      </x:c>
      <x:c r="C8" s="27" t="str">
        <x:f>'导入数据'!E9</x:f>
        <x:v>通海县</x:v>
      </x:c>
      <x:c r="D8" s="27" t="str">
        <x:f>IF('导入数据'!F9="delivery","送货","自提")</x:f>
        <x:v>送货</x:v>
      </x:c>
      <x:c r="E8" s="27" t="str">
        <x:f>'导入数据'!G9</x:f>
        <x:v>测试发货人戊</x:v>
      </x:c>
      <x:c r="F8" s="27" t="str">
        <x:f>'导入数据'!H9</x:f>
        <x:v>测试收货人戊</x:v>
      </x:c>
      <x:c r="G8" s="30" t="str">
        <x:f>IF('导入数据'!I9="","",'导入数据'!I9)</x:f>
        <x:v>13800000005</x:v>
      </x:c>
      <x:c r="H8" s="27" t="str">
        <x:f>'导入数据'!J9</x:f>
        <x:v>测试文件E</x:v>
      </x:c>
      <x:c r="I8" s="27" t="str">
        <x:f>IF('导入数据'!K9="","",'导入数据'!K9)</x:f>
        <x:v>纸箱</x:v>
      </x:c>
      <x:c r="J8" s="33" t="n">
        <x:f>'导入数据'!L9</x:f>
        <x:v>7</x:v>
      </x:c>
      <x:c r="K8" s="36" t="str">
        <x:f>IF('导入数据'!M9="","",'导入数据'!M9)</x:f>
      </x:c>
      <x:c r="L8" s="36" t="n">
        <x:f>IF('导入数据'!N9="","",'导入数据'!N9)</x:f>
        <x:v>0.21</x:v>
      </x:c>
      <x:c r="M8" s="36" t="n">
        <x:f>'导入数据'!O9</x:f>
        <x:v>26.5</x:v>
      </x:c>
      <x:c r="N8" s="27" t="str">
        <x:f>IF('导入数据'!P9="pay_billing","现付","未支持")</x:f>
        <x:v>现付</x:v>
      </x:c>
    </x:row>
    <x:row r="9" ht="24" customHeight="1">
      <x:c r="A9" s="31" t="str">
        <x:f>'导入数据'!C10</x:f>
        <x:v>TEST-0006</x:v>
      </x:c>
      <x:c r="B9" s="28" t="str">
        <x:f>'导入数据'!D10</x:f>
        <x:v>空体积与大件数</x:v>
      </x:c>
      <x:c r="C9" s="28" t="str">
        <x:f>'导入数据'!E10</x:f>
        <x:v>通海县</x:v>
      </x:c>
      <x:c r="D9" s="28" t="str">
        <x:f>IF('导入数据'!F10="delivery","送货","自提")</x:f>
        <x:v>自提</x:v>
      </x:c>
      <x:c r="E9" s="28" t="str">
        <x:f>'导入数据'!G10</x:f>
        <x:v>测试发货人己</x:v>
      </x:c>
      <x:c r="F9" s="28" t="str">
        <x:f>'导入数据'!H10</x:f>
        <x:v>测试收货人己</x:v>
      </x:c>
      <x:c r="G9" s="31" t="str">
        <x:f>IF('导入数据'!I10="","",'导入数据'!I10)</x:f>
        <x:v>13800000006</x:v>
      </x:c>
      <x:c r="H9" s="28" t="str">
        <x:f>'导入数据'!J10</x:f>
        <x:v>测试零件F</x:v>
      </x:c>
      <x:c r="I9" s="28" t="str">
        <x:f>IF('导入数据'!K10="","",'导入数据'!K10)</x:f>
        <x:v>托盘</x:v>
      </x:c>
      <x:c r="J9" s="34" t="n">
        <x:f>'导入数据'!L10</x:f>
        <x:v>20</x:v>
      </x:c>
      <x:c r="K9" s="37" t="n">
        <x:f>IF('导入数据'!M10="","",'导入数据'!M10)</x:f>
        <x:v>55.5</x:v>
      </x:c>
      <x:c r="L9" s="37" t="str">
        <x:f>IF('导入数据'!N10="","",'导入数据'!N10)</x:f>
      </x:c>
      <x:c r="M9" s="37" t="n">
        <x:f>'导入数据'!O10</x:f>
        <x:v>66</x:v>
      </x:c>
      <x:c r="N9" s="28" t="str">
        <x:f>IF('导入数据'!P10="pay_billing","现付","未支持")</x:f>
        <x:v>现付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6118256b3fd4c7a"/>
  </x:tableParts>
</x:worksheet>
</file>